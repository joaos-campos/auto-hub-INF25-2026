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rietario" sheetId="1" r:id="rId5"/>
    <sheet state="visible" name="Prestador" sheetId="2" r:id="rId6"/>
    <sheet state="visible" name="Estado" sheetId="3" r:id="rId7"/>
    <sheet state="visible" name="Cidade" sheetId="4" r:id="rId8"/>
    <sheet state="visible" name="Bairro" sheetId="5" r:id="rId9"/>
    <sheet state="visible" name="Logradouro" sheetId="6" r:id="rId10"/>
    <sheet state="visible" name="Endereco Proprietario" sheetId="7" r:id="rId11"/>
    <sheet state="visible" name="Endereco Prestador" sheetId="8" r:id="rId12"/>
    <sheet state="visible" name="Marca" sheetId="9" r:id="rId13"/>
    <sheet state="visible" name="Veiculo" sheetId="10" r:id="rId14"/>
    <sheet state="visible" name="Proprietario Veiculo" sheetId="11" r:id="rId15"/>
    <sheet state="visible" name="Intercorrencias Veiculo" sheetId="12" r:id="rId16"/>
    <sheet state="visible" name="Agendamento" sheetId="13" r:id="rId17"/>
    <sheet state="visible" name="Atendimento" sheetId="14" r:id="rId18"/>
    <sheet state="visible" name="Status" sheetId="15" r:id="rId19"/>
    <sheet state="visible" name="Status Atendimento" sheetId="16" r:id="rId20"/>
    <sheet state="visible" name="Servico" sheetId="17" r:id="rId21"/>
    <sheet state="visible" name="Serviço Atendimento" sheetId="18" r:id="rId22"/>
    <sheet state="visible" name="Avaliacao" sheetId="19" r:id="rId23"/>
  </sheets>
  <definedNames>
    <definedName localSheetId="8" name="st_associativa">Marca!$E$2</definedName>
    <definedName localSheetId="7" name="nr_colunas">'Endereco Prestador'!$C$2</definedName>
    <definedName localSheetId="1" name="ds_finalidade">Prestador!$B$4:$E$4</definedName>
    <definedName localSheetId="17" name="st_associativa">'Serviço Atendimento'!$E$2</definedName>
    <definedName localSheetId="4" name="nr_colunas">Bairro!$C$2</definedName>
    <definedName localSheetId="13" name="st_associativa">Atendimento!$E$2</definedName>
    <definedName localSheetId="10" name="nm_tabela">'Proprietario Veiculo'!$A$2:$B$2</definedName>
    <definedName name="st_associativa">#REF!</definedName>
    <definedName localSheetId="14" name="st_associativa">Status!$E$2</definedName>
    <definedName localSheetId="5" name="nm_tabela">Logradouro!$A$2:$B$2</definedName>
    <definedName localSheetId="0" name="nr_estrangeiras">Proprietario!$D$2</definedName>
    <definedName localSheetId="13" name="ds_finalidade">Atendimento!$B$4:$E$4</definedName>
    <definedName localSheetId="17" name="nm_tabela">'Serviço Atendimento'!$A$2:$B$2</definedName>
    <definedName localSheetId="18" name="ds_finalidade">Avaliacao!$B$4:$E$4</definedName>
    <definedName localSheetId="18" name="nr_estrangeiras">Avaliacao!$D$2</definedName>
    <definedName localSheetId="8" name="ds_finalidade">Marca!$B$4:$E$4</definedName>
    <definedName localSheetId="6" name="nm_tabela">'Endereco Proprietario'!$A$2:$B$2</definedName>
    <definedName name="ds_finalidade">#REF!</definedName>
    <definedName localSheetId="9" name="ds_finalidade">Veiculo!$B$4:$E$4</definedName>
    <definedName localSheetId="2" name="nr_estrangeiras">Estado!$D$2</definedName>
    <definedName localSheetId="10" name="ds_finalidade">'Proprietario Veiculo'!$B$4:$E$4</definedName>
    <definedName localSheetId="14" name="nr_estrangeiras">Status!$D$2</definedName>
    <definedName localSheetId="3" name="nr_colunas">Cidade!$C$2</definedName>
    <definedName localSheetId="8" name="nr_estrangeiras">Marca!$D$2</definedName>
    <definedName localSheetId="8" name="nr_colunas">Marca!$C$2</definedName>
    <definedName localSheetId="7" name="nr_estrangeiras">'Endereco Prestador'!$D$2</definedName>
    <definedName localSheetId="0" name="nr_colunas">Proprietario!$C$2</definedName>
    <definedName localSheetId="0" name="st_associativa">Proprietario!$E$2</definedName>
    <definedName localSheetId="3" name="ds_finalidade">Cidade!$B$4:$E$4</definedName>
    <definedName localSheetId="14" name="nm_tabela">Status!$A$2:$B$2</definedName>
    <definedName localSheetId="1" name="st_associativa">Prestador!$E$2</definedName>
    <definedName localSheetId="6" name="nr_estrangeiras">'Endereco Proprietario'!$D$2</definedName>
    <definedName localSheetId="16" name="nr_estrangeiras">Servico!$D$2</definedName>
    <definedName localSheetId="18" name="nr_colunas">Avaliacao!$C$2</definedName>
    <definedName localSheetId="12" name="nm_tabela">Agendamento!$A$2:$B$2</definedName>
    <definedName localSheetId="4" name="st_associativa">Bairro!$E$2</definedName>
    <definedName localSheetId="1" name="nr_estrangeiras">Prestador!$D$2</definedName>
    <definedName localSheetId="5" name="nr_estrangeiras">Logradouro!$D$2</definedName>
    <definedName localSheetId="16" name="nr_colunas">Servico!$C$2</definedName>
    <definedName localSheetId="14" name="ds_finalidade">Status!$B$4:$E$4</definedName>
    <definedName localSheetId="15" name="nr_estrangeiras">'Status Atendimento'!$D$2</definedName>
    <definedName localSheetId="7" name="ds_finalidade">'Endereco Prestador'!$B$4:$E$4</definedName>
    <definedName localSheetId="12" name="st_associativa">Agendamento!$E$2</definedName>
    <definedName localSheetId="13" name="nr_colunas">Atendimento!$C$2</definedName>
    <definedName localSheetId="9" name="nm_tabela">Veiculo!$A$2:$B$2</definedName>
    <definedName name="nm_tabela">#REF!</definedName>
    <definedName localSheetId="2" name="nr_colunas">Estado!$C$2</definedName>
    <definedName localSheetId="5" name="st_associativa">Logradouro!$E$2</definedName>
    <definedName localSheetId="17" name="ds_finalidade">'Serviço Atendimento'!$B$4:$E$4</definedName>
    <definedName localSheetId="18" name="nm_tabela">Avaliacao!$A$2:$B$2</definedName>
    <definedName name="nr_colunas">#REF!</definedName>
    <definedName localSheetId="5" name="nr_colunas">Logradouro!$C$2</definedName>
    <definedName localSheetId="7" name="nm_tabela">'Endereco Prestador'!$A$2:$B$2</definedName>
    <definedName localSheetId="16" name="st_associativa">Servico!$E$2</definedName>
    <definedName localSheetId="6" name="ds_finalidade">'Endereco Proprietario'!$B$4:$E$4</definedName>
    <definedName localSheetId="2" name="st_associativa">Estado!$E$2</definedName>
    <definedName localSheetId="10" name="st_associativa">'Proprietario Veiculo'!$E$2</definedName>
    <definedName localSheetId="0" name="nm_tabela">Proprietario!$A$2:$B$2</definedName>
    <definedName localSheetId="6" name="st_associativa">'Endereco Proprietario'!$E$2</definedName>
    <definedName localSheetId="1" name="nr_colunas">Prestador!$C$2</definedName>
    <definedName localSheetId="15" name="st_associativa">'Status Atendimento'!$E$2</definedName>
    <definedName name="nr_estrangeiras">#REF!</definedName>
    <definedName localSheetId="10" name="nr_colunas">'Proprietario Veiculo'!$C$2</definedName>
    <definedName localSheetId="7" name="st_associativa">'Endereco Prestador'!$E$2</definedName>
    <definedName localSheetId="11" name="nm_tabela">'Intercorrencias Veiculo'!$A$2:$B$2</definedName>
    <definedName localSheetId="13" name="nr_estrangeiras">Atendimento!$D$2</definedName>
    <definedName localSheetId="10" name="nr_estrangeiras">'Proprietario Veiculo'!$D$2</definedName>
    <definedName localSheetId="9" name="nr_colunas">Veiculo!$C$2</definedName>
    <definedName localSheetId="3" name="nr_estrangeiras">Cidade!$D$2</definedName>
    <definedName localSheetId="8" name="nm_tabela">Marca!$A$2:$B$2</definedName>
    <definedName localSheetId="12" name="ds_finalidade">Agendamento!$B$4:$E$4</definedName>
    <definedName localSheetId="2" name="ds_finalidade">Estado!$B$4:$E$4</definedName>
    <definedName localSheetId="16" name="nm_tabela">Servico!$A$2:$B$2</definedName>
    <definedName localSheetId="9" name="st_associativa">Veiculo!$E$2</definedName>
    <definedName localSheetId="16" name="ds_finalidade">Servico!$B$4:$E$4</definedName>
    <definedName localSheetId="17" name="nr_colunas">'Serviço Atendimento'!$C$2</definedName>
    <definedName localSheetId="12" name="nr_colunas">Agendamento!$C$2</definedName>
    <definedName localSheetId="0" name="ds_finalidade">Proprietario!$B$4:$E$4</definedName>
    <definedName localSheetId="6" name="nr_colunas">'Endereco Proprietario'!$C$2</definedName>
    <definedName localSheetId="3" name="st_associativa">Cidade!$E$2</definedName>
    <definedName localSheetId="9" name="nr_estrangeiras">Veiculo!$D$2</definedName>
    <definedName localSheetId="4" name="nr_estrangeiras">Bairro!$D$2</definedName>
    <definedName localSheetId="12" name="nr_estrangeiras">Agendamento!$D$2</definedName>
    <definedName localSheetId="3" name="nm_tabela">Cidade!$A$2:$B$2</definedName>
    <definedName localSheetId="17" name="nr_estrangeiras">'Serviço Atendimento'!$D$2</definedName>
    <definedName localSheetId="11" name="st_associativa">'Intercorrencias Veiculo'!$E$2</definedName>
    <definedName localSheetId="1" name="nm_tabela">Prestador!$A$2:$B$2</definedName>
    <definedName localSheetId="11" name="ds_finalidade">'Intercorrencias Veiculo'!$B$4:$E$4</definedName>
    <definedName localSheetId="4" name="ds_finalidade">Bairro!$B$4:$E$4</definedName>
    <definedName localSheetId="15" name="nr_colunas">'Status Atendimento'!$C$2</definedName>
    <definedName localSheetId="15" name="ds_finalidade">'Status Atendimento'!$B$4:$E$4</definedName>
    <definedName localSheetId="4" name="nm_tabela">Bairro!$A$2:$B$2</definedName>
    <definedName localSheetId="11" name="nr_colunas">'Intercorrencias Veiculo'!$C$2</definedName>
    <definedName localSheetId="15" name="nm_tabela">'Status Atendimento'!$A$2:$B$2</definedName>
    <definedName localSheetId="11" name="nr_estrangeiras">'Intercorrencias Veiculo'!$D$2</definedName>
    <definedName localSheetId="14" name="nr_colunas">Status!$C$2</definedName>
    <definedName localSheetId="18" name="st_associativa">Avaliacao!$E$2</definedName>
    <definedName localSheetId="2" name="nm_tabela">Estado!$A$2:$B$2</definedName>
    <definedName localSheetId="13" name="nm_tabela">Atendimento!$A$2:$B$2</definedName>
    <definedName localSheetId="5" name="ds_finalidade">Logradouro!$B$4:$E$4</definedName>
  </definedNames>
  <calcPr/>
</workbook>
</file>

<file path=xl/sharedStrings.xml><?xml version="1.0" encoding="utf-8"?>
<sst xmlns="http://schemas.openxmlformats.org/spreadsheetml/2006/main" count="697" uniqueCount="145">
  <si>
    <t>Tabela</t>
  </si>
  <si>
    <t>Colunas</t>
  </si>
  <si>
    <t>Chaves Estrangeiras</t>
  </si>
  <si>
    <t>Associativa</t>
  </si>
  <si>
    <t>T_AAH_PROPRIETARIO</t>
  </si>
  <si>
    <t>Não</t>
  </si>
  <si>
    <t>Finalidade</t>
  </si>
  <si>
    <t>Registrar dados básicos de cadastro do proprietário do veículo - um dos dois tipos de usuário do sistema.</t>
  </si>
  <si>
    <t>Coluna</t>
  </si>
  <si>
    <t>Tipo de Dados</t>
  </si>
  <si>
    <t>Tamanho</t>
  </si>
  <si>
    <t>Permite Vazios</t>
  </si>
  <si>
    <t>Tipo de Restrição</t>
  </si>
  <si>
    <t>id_proprietario</t>
  </si>
  <si>
    <t>INT</t>
  </si>
  <si>
    <t>--</t>
  </si>
  <si>
    <t>PRIMARY KEY</t>
  </si>
  <si>
    <t>nm_proprietario</t>
  </si>
  <si>
    <t>VARCHAR</t>
  </si>
  <si>
    <t>160</t>
  </si>
  <si>
    <t>dt_nascimento</t>
  </si>
  <si>
    <t>DATE</t>
  </si>
  <si>
    <t>CHECK</t>
  </si>
  <si>
    <t>nr_cpf</t>
  </si>
  <si>
    <t>CHAR</t>
  </si>
  <si>
    <t>14</t>
  </si>
  <si>
    <t>UNIQUE</t>
  </si>
  <si>
    <t>ds_email</t>
  </si>
  <si>
    <t>120</t>
  </si>
  <si>
    <t>nr_telefone</t>
  </si>
  <si>
    <t>ds_senha</t>
  </si>
  <si>
    <t>80</t>
  </si>
  <si>
    <t>T_AAH_PRESTADOR</t>
  </si>
  <si>
    <t>Cadastrar prestadores de serviço - o segundo tipo de usuário do sistema - no formato de empresa, através de dados como CNPJ.</t>
  </si>
  <si>
    <t>id_prestador</t>
  </si>
  <si>
    <t>nm_fantasia</t>
  </si>
  <si>
    <t>nr_cnpj</t>
  </si>
  <si>
    <t>20</t>
  </si>
  <si>
    <t>T_AAH_ESTADO</t>
  </si>
  <si>
    <t>Parte do cadastro de endereço, onde serão registrados os 27 estados do Brasil.</t>
  </si>
  <si>
    <t>id_estado</t>
  </si>
  <si>
    <t>nm_estado</t>
  </si>
  <si>
    <t>60</t>
  </si>
  <si>
    <t>sg_estado</t>
  </si>
  <si>
    <t>2</t>
  </si>
  <si>
    <t>T_AAH_CIDADE</t>
  </si>
  <si>
    <t>Parte do cadastro de endereço, onde ficarão registrados, através de alimentação por base de dados externa, os 5.569 municípios do Brasil.</t>
  </si>
  <si>
    <t>id_cidade</t>
  </si>
  <si>
    <t>FOREIGN KEY</t>
  </si>
  <si>
    <t>cd_cidade_ibge</t>
  </si>
  <si>
    <t>7</t>
  </si>
  <si>
    <t>nm_cidade</t>
  </si>
  <si>
    <t>100</t>
  </si>
  <si>
    <t>T_AAH_BAIRRO</t>
  </si>
  <si>
    <t>Parte do cadastro de endereços, destina-se ao cadastro de bairros vinculados à um determinado município/cidade.</t>
  </si>
  <si>
    <t>id_bairro</t>
  </si>
  <si>
    <t>nm_bairro</t>
  </si>
  <si>
    <t>T_AAH_LOGRADOURO</t>
  </si>
  <si>
    <t>Parte do cadastro de endereço, destina-se ao cadastro do logradouro (rua, avenida, estrada, praça etc) de determinado endereço, vinculado a um bairro de um determinado município.</t>
  </si>
  <si>
    <t>id_logradouro</t>
  </si>
  <si>
    <t>nr_cep</t>
  </si>
  <si>
    <t>9</t>
  </si>
  <si>
    <t>tp_logradouro</t>
  </si>
  <si>
    <t>3</t>
  </si>
  <si>
    <t>ds_logradouro</t>
  </si>
  <si>
    <t>180</t>
  </si>
  <si>
    <t>T_AAH_ENDERECO_PROPRIETARIO</t>
  </si>
  <si>
    <t>Parte final do cadastro de endereço, destinada exclusivamente ao cadastro de endereços de proprietários de veículos. Será registrada a chave estrangeira do logradouro e, finalmente, o número da residência e demais observações.</t>
  </si>
  <si>
    <t>id_endereco_proprietario</t>
  </si>
  <si>
    <t>nr_endereco</t>
  </si>
  <si>
    <t>ob_endereco</t>
  </si>
  <si>
    <t>Sim</t>
  </si>
  <si>
    <t>T_AAH_ENDERECO_PRESTADOR</t>
  </si>
  <si>
    <t>Parte final do cadastro de endereço, destinada exclusivamente ao cadastro de endereços de prestadores de serviço. Será registrada a chave estrangeira do logradouro e, finalmente, o número do endereço comericial e demais observações.</t>
  </si>
  <si>
    <t>id_endereco_prestador</t>
  </si>
  <si>
    <t>T_AAH_MARCA</t>
  </si>
  <si>
    <t>Massa de dados populada através de base de dados externa, com os nomes das principais marcas de veículos.</t>
  </si>
  <si>
    <t>id_marca</t>
  </si>
  <si>
    <t>nm_marca</t>
  </si>
  <si>
    <t>T_AAH_VEICULO</t>
  </si>
  <si>
    <t>Cadastrar veículos, ação que será realizado pelo proprietário do veículo.</t>
  </si>
  <si>
    <t>id_veiculo</t>
  </si>
  <si>
    <t>ds_modelo</t>
  </si>
  <si>
    <t>nr_ano</t>
  </si>
  <si>
    <t>nr_ano_modelo</t>
  </si>
  <si>
    <t>ds_placa</t>
  </si>
  <si>
    <t>ds_cor</t>
  </si>
  <si>
    <t>45</t>
  </si>
  <si>
    <t>T_AAH_PROPRIETARIO_VEICULO</t>
  </si>
  <si>
    <t xml:space="preserve">Associar o identificador único do proprietário do veículo ao identificador único de determinado veículo, com o intuito de gerar um histórico de proprietários do veículo, com data de início e fim da propriedade e status de ativo ou inativo. </t>
  </si>
  <si>
    <t>id_propriedade</t>
  </si>
  <si>
    <t>dt_inicio</t>
  </si>
  <si>
    <t>dt_fim</t>
  </si>
  <si>
    <t>ds_status</t>
  </si>
  <si>
    <t>1</t>
  </si>
  <si>
    <t>T_VEICULO_INTERCORRENCIAS</t>
  </si>
  <si>
    <t>Permitir ao proprietário cadastrar observações e acontecimentos detrimentais ao desempenho e/ou conservação de determinado veículo de sua propriedade, que julgue de importância, para intuito de consulta e/ou compartilhamento posterior.</t>
  </si>
  <si>
    <t>id_intercorrencia</t>
  </si>
  <si>
    <t>ds_intercorrencia</t>
  </si>
  <si>
    <t>TEXT</t>
  </si>
  <si>
    <t>dt_intercorrencia</t>
  </si>
  <si>
    <t>vl_hodometro</t>
  </si>
  <si>
    <t>DECIMAL</t>
  </si>
  <si>
    <t>8,1</t>
  </si>
  <si>
    <t>T_AAH_AGENDAMENTO</t>
  </si>
  <si>
    <t>Cadastrar solicitação de agendamento para a realização de um atendimento. Gerará um atendimento caso o prestador aceite o agendamento, indicado pelo campo 'ds_status'.</t>
  </si>
  <si>
    <t>id_agendamento</t>
  </si>
  <si>
    <t>dt_agendamento</t>
  </si>
  <si>
    <t>ds_servico_solicitado</t>
  </si>
  <si>
    <t>dt_inclusao</t>
  </si>
  <si>
    <t>T_AAH_ATENDIMENTO</t>
  </si>
  <si>
    <t>Gerar um atendimento caso um agendamento seja aceito pelo prestador de serviço. Contém a data de início e de fim do atendimento, descrição e o valor do hodômetro registrado no momento em que o veículo entrou em atendimento.</t>
  </si>
  <si>
    <t>id_atendimento</t>
  </si>
  <si>
    <t>FOREIGN KEY, UNIQUE</t>
  </si>
  <si>
    <t>vl_hodometro_veiculo</t>
  </si>
  <si>
    <t>ds_atendimento</t>
  </si>
  <si>
    <t>T_AAH_STATUS</t>
  </si>
  <si>
    <t>Registrar os diversos status que um determinado atendimento veicular pode assumir (A=Aguardando Início, B=Em Andamento/Em Atendimento, C=Em Espera, D=Encerrado, E=Cancelado etc).</t>
  </si>
  <si>
    <t>id_status</t>
  </si>
  <si>
    <t>st_status</t>
  </si>
  <si>
    <t>UNIQUE, CHECK</t>
  </si>
  <si>
    <t>T_STATUS_ATENDIMENTO</t>
  </si>
  <si>
    <t>Vincular o status do atendimento à tabela de atendimento.</t>
  </si>
  <si>
    <t>dt_atualizacao</t>
  </si>
  <si>
    <t>DATETIME</t>
  </si>
  <si>
    <t>PRIMARY KEY, CHECK</t>
  </si>
  <si>
    <t>ds_observacao</t>
  </si>
  <si>
    <t>T_AAH_SERVICO</t>
  </si>
  <si>
    <t>Registrar serviço realizado durante o atendimento do veículo.</t>
  </si>
  <si>
    <t>id_servico</t>
  </si>
  <si>
    <t>nm_servico</t>
  </si>
  <si>
    <t>150</t>
  </si>
  <si>
    <t>ds_servico</t>
  </si>
  <si>
    <t>T_SERVICO_ATENDIMENTO</t>
  </si>
  <si>
    <t>Associar o serviço realizado à um atendimento respectivo, registrando o custo do serviço e o tempo necessário para realizá-lo.</t>
  </si>
  <si>
    <t>PRIMARY KEY, FOREIGN KEY</t>
  </si>
  <si>
    <t>vl_servico</t>
  </si>
  <si>
    <t>9,2</t>
  </si>
  <si>
    <t>vl_horas_gastas</t>
  </si>
  <si>
    <t>T_AAH_AVALIACAO</t>
  </si>
  <si>
    <t>Registrar a avaliação, dada pelo proprietário do veículo, ao serviço realizado em seu veículo após o atendimento.</t>
  </si>
  <si>
    <t>id_avaliacao</t>
  </si>
  <si>
    <t>vl_avaliacao</t>
  </si>
  <si>
    <t>ds_avaliacao</t>
  </si>
  <si>
    <t>dt_avaliacao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</si>
</sst>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/>
    <font>
      <sz val="11.0"/>
      <color theme="1"/>
      <name val="Roboto Mono"/>
    </font>
    <font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Arial"/>
      <scheme val="minor"/>
    </font>
    <font>
      <sz val="10.0"/>
      <color theme="1"/>
      <name val="Roboto Mon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889590"/>
        <bgColor rgb="FF889590"/>
      </patternFill>
    </fill>
  </fills>
  <borders count="6">
    <border/>
    <border>
      <top style="medium">
        <color rgb="FF1A332A"/>
      </top>
      <bottom style="medium">
        <color rgb="FF1A332A"/>
      </bottom>
    </border>
    <border>
      <bottom style="medium">
        <color rgb="FF1A332A"/>
      </bottom>
    </border>
    <border>
      <top style="medium">
        <color rgb="FF1A332A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Border="1" applyFont="1"/>
    <xf borderId="2" fillId="3" fontId="3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2" fillId="3" fontId="3" numFmtId="49" xfId="0" applyAlignment="1" applyBorder="1" applyFont="1" applyNumberFormat="1">
      <alignment horizontal="center" readingOrder="0" shrinkToFit="0" vertical="center" wrapText="1"/>
    </xf>
    <xf borderId="0" fillId="4" fontId="4" numFmtId="0" xfId="0" applyAlignment="1" applyFill="1" applyFont="1">
      <alignment horizontal="left" readingOrder="0" shrinkToFit="0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0" fillId="2" fontId="4" numFmtId="0" xfId="0" applyAlignment="1" applyFont="1">
      <alignment horizontal="left" readingOrder="0" shrinkToFit="0" wrapText="1"/>
    </xf>
    <xf borderId="2" fillId="0" fontId="4" numFmtId="0" xfId="0" applyAlignment="1" applyBorder="1" applyFont="1">
      <alignment horizontal="center" readingOrder="0" shrinkToFit="0" vertical="center" wrapText="1"/>
    </xf>
    <xf borderId="4" fillId="0" fontId="7" numFmtId="49" xfId="0" applyAlignment="1" applyBorder="1" applyFont="1" applyNumberFormat="1">
      <alignment readingOrder="0" shrinkToFit="0" vertical="center" wrapText="0"/>
    </xf>
    <xf borderId="4" fillId="0" fontId="7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>
    <tableStyle count="4" pivot="0" name="Propriet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tad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ir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radou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dereco Propriet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dereco Prestad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icu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prietario Veicu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correncias Veicu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enda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endi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us Atendi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ço Atendi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aliaca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E13" displayName="Dicionário_de_Dados_01" name="Dicionário_de_Dados_01" id="1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Proprietario-style" showColumnStripes="0" showFirstColumn="1" showLastColumn="1" showRowStripes="1"/>
</table>
</file>

<file path=xl/tables/table2.xml><?xml version="1.0" encoding="utf-8"?>
<table xmlns="http://schemas.openxmlformats.org/spreadsheetml/2006/main" ref="A6:E12" displayName="Dicionário_de_Dados_02" name="Dicionário_de_Dados_02" id="2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Prestador-style" showColumnStripes="0" showFirstColumn="1" showLastColumn="1" showRowStripes="1"/>
</table>
</file>

<file path=xl/tables/table3.xml><?xml version="1.0" encoding="utf-8"?>
<table xmlns="http://schemas.openxmlformats.org/spreadsheetml/2006/main" ref="A6:E9" displayName="Dicionário_de_Dados_03" name="Dicionário_de_Dados_03" id="3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Estado-style" showColumnStripes="0" showFirstColumn="1" showLastColumn="1" showRowStripes="1"/>
</table>
</file>

<file path=xl/tables/table4.xml><?xml version="1.0" encoding="utf-8"?>
<table xmlns="http://schemas.openxmlformats.org/spreadsheetml/2006/main" ref="A6:E10" displayName="Dicionário_de_Dados_04" name="Dicionário_de_Dados_04" id="4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Cidade-style" showColumnStripes="0" showFirstColumn="1" showLastColumn="1" showRowStripes="1"/>
</table>
</file>

<file path=xl/tables/table5.xml><?xml version="1.0" encoding="utf-8"?>
<table xmlns="http://schemas.openxmlformats.org/spreadsheetml/2006/main" ref="A6:E9" displayName="Dicionário_de_Dados_05" name="Dicionário_de_Dados_05" id="5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Bairro-style" showColumnStripes="0" showFirstColumn="1" showLastColumn="1" showRowStripes="1"/>
</table>
</file>

<file path=xl/tables/table6.xml><?xml version="1.0" encoding="utf-8"?>
<table xmlns="http://schemas.openxmlformats.org/spreadsheetml/2006/main" ref="A6:E11" displayName="Dicionário_de_Dados_06" name="Dicionário_de_Dados_06" id="6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Logradouro-style" showColumnStripes="0" showFirstColumn="1" showLastColumn="1" showRowStripes="1"/>
</table>
</file>

<file path=xl/tables/table7.xml><?xml version="1.0" encoding="utf-8"?>
<table xmlns="http://schemas.openxmlformats.org/spreadsheetml/2006/main" ref="A6:E11" displayName="Dicionário_de_Dados_07" name="Dicionário_de_Dados_07" id="7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Endereco Proprietario-style" showColumnStripes="0" showFirstColumn="1" showLastColumn="1" showRowStripes="1"/>
</table>
</file>

<file path=xl/tables/table8.xml><?xml version="1.0" encoding="utf-8"?>
<table xmlns="http://schemas.openxmlformats.org/spreadsheetml/2006/main" ref="A6:E11" displayName="Dicionário_de_Dados_08" name="Dicionário_de_Dados_08" id="8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Endereco Prestador-style" showColumnStripes="0" showFirstColumn="1" showLastColumn="1" showRowStripes="1"/>
</table>
</file>

<file path=xl/tables/table9.xml><?xml version="1.0" encoding="utf-8"?>
<table xmlns="http://schemas.openxmlformats.org/spreadsheetml/2006/main" ref="A6:E8" displayName="Dicionário_de_Dados_09" name="Dicionário_de_Dados_09" id="9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Marca-style" showColumnStripes="0" showFirstColumn="1" showLastColumn="1" showRowStripes="1"/>
</table>
</file>

<file path=xl/tables/table10.xml><?xml version="1.0" encoding="utf-8"?>
<table xmlns="http://schemas.openxmlformats.org/spreadsheetml/2006/main" ref="A6:E13" displayName="Dicionário_de_Dados_10" name="Dicionário_de_Dados_10" id="10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Veiculo-style" showColumnStripes="0" showFirstColumn="1" showLastColumn="1" showRowStripes="1"/>
</table>
</file>

<file path=xl/tables/table11.xml><?xml version="1.0" encoding="utf-8"?>
<table xmlns="http://schemas.openxmlformats.org/spreadsheetml/2006/main" ref="A6:E12" displayName="Dicionário_de_Dados_11" name="Dicionário_de_Dados_11" id="11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Proprietario Veiculo-style" showColumnStripes="0" showFirstColumn="1" showLastColumn="1" showRowStripes="1"/>
</table>
</file>

<file path=xl/tables/table12.xml><?xml version="1.0" encoding="utf-8"?>
<table xmlns="http://schemas.openxmlformats.org/spreadsheetml/2006/main" ref="A6:E11" displayName="Dicionário_de_Dados_12" name="Dicionário_de_Dados_12" id="12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Intercorrencias Veiculo-style" showColumnStripes="0" showFirstColumn="1" showLastColumn="1" showRowStripes="1"/>
</table>
</file>

<file path=xl/tables/table13.xml><?xml version="1.0" encoding="utf-8"?>
<table xmlns="http://schemas.openxmlformats.org/spreadsheetml/2006/main" ref="A6:E13" displayName="Dicionário_de_Dados_13" name="Dicionário_de_Dados_13" id="13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Agendamento-style" showColumnStripes="0" showFirstColumn="1" showLastColumn="1" showRowStripes="1"/>
</table>
</file>

<file path=xl/tables/table14.xml><?xml version="1.0" encoding="utf-8"?>
<table xmlns="http://schemas.openxmlformats.org/spreadsheetml/2006/main" ref="A6:E12" displayName="Dicionário_de_Dados_14" name="Dicionário_de_Dados_14" id="14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Atendimento-style" showColumnStripes="0" showFirstColumn="1" showLastColumn="1" showRowStripes="1"/>
</table>
</file>

<file path=xl/tables/table15.xml><?xml version="1.0" encoding="utf-8"?>
<table xmlns="http://schemas.openxmlformats.org/spreadsheetml/2006/main" ref="A6:E8" displayName="Dicionário_de_Dados_15" name="Dicionário_de_Dados_15" id="15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Status-style" showColumnStripes="0" showFirstColumn="1" showLastColumn="1" showRowStripes="1"/>
</table>
</file>

<file path=xl/tables/table16.xml><?xml version="1.0" encoding="utf-8"?>
<table xmlns="http://schemas.openxmlformats.org/spreadsheetml/2006/main" ref="A6:E10" displayName="Dicionário_de_Dados_16" name="Dicionário_de_Dados_16" id="16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Status Atendimento-style" showColumnStripes="0" showFirstColumn="1" showLastColumn="1" showRowStripes="1"/>
</table>
</file>

<file path=xl/tables/table17.xml><?xml version="1.0" encoding="utf-8"?>
<table xmlns="http://schemas.openxmlformats.org/spreadsheetml/2006/main" ref="A6:E9" displayName="Dicionário_de_Dados_17" name="Dicionário_de_Dados_17" id="17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Servico-style" showColumnStripes="0" showFirstColumn="1" showLastColumn="1" showRowStripes="1"/>
</table>
</file>

<file path=xl/tables/table18.xml><?xml version="1.0" encoding="utf-8"?>
<table xmlns="http://schemas.openxmlformats.org/spreadsheetml/2006/main" ref="A6:E10" displayName="Dicionário_de_Dados_18" name="Dicionário_de_Dados_18" id="18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Serviço Atendimento-style" showColumnStripes="0" showFirstColumn="1" showLastColumn="1" showRowStripes="1"/>
</table>
</file>

<file path=xl/tables/table19.xml><?xml version="1.0" encoding="utf-8"?>
<table xmlns="http://schemas.openxmlformats.org/spreadsheetml/2006/main" ref="A6:E12" displayName="Dicionário_de_Dados_19" name="Dicionário_de_Dados_19" id="19">
  <tableColumns count="5">
    <tableColumn name="Coluna" id="1"/>
    <tableColumn name="Tipo de Dados" id="2"/>
    <tableColumn name="Tamanho" id="3"/>
    <tableColumn name="Permite Vazios" id="4"/>
    <tableColumn name="Tipo de Restrição" id="5"/>
  </tableColumns>
  <tableStyleInfo name="Avalia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4</v>
      </c>
      <c r="B2" s="4"/>
      <c r="C2" s="3">
        <v>7.0</v>
      </c>
      <c r="D2" s="3">
        <f>COUNTIF(Dicionário_de_Dados_01[Tipo de Restrição], "FOREIGN KEY")</f>
        <v>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7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</row>
    <row r="7" ht="22.5" customHeight="1">
      <c r="A7" s="12" t="s">
        <v>13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17</v>
      </c>
      <c r="B8" s="13" t="s">
        <v>18</v>
      </c>
      <c r="C8" s="12" t="s">
        <v>19</v>
      </c>
      <c r="D8" s="14" t="s">
        <v>5</v>
      </c>
      <c r="E8" s="15" t="s">
        <v>15</v>
      </c>
    </row>
    <row r="9" ht="22.5" customHeight="1">
      <c r="A9" s="12" t="s">
        <v>20</v>
      </c>
      <c r="B9" s="13" t="s">
        <v>21</v>
      </c>
      <c r="C9" s="12" t="s">
        <v>15</v>
      </c>
      <c r="D9" s="14" t="s">
        <v>5</v>
      </c>
      <c r="E9" s="15" t="s">
        <v>22</v>
      </c>
    </row>
    <row r="10" ht="22.5" customHeight="1">
      <c r="A10" s="12" t="s">
        <v>23</v>
      </c>
      <c r="B10" s="13" t="s">
        <v>24</v>
      </c>
      <c r="C10" s="12" t="s">
        <v>25</v>
      </c>
      <c r="D10" s="14" t="s">
        <v>5</v>
      </c>
      <c r="E10" s="15" t="s">
        <v>26</v>
      </c>
    </row>
    <row r="11" ht="22.5" customHeight="1">
      <c r="A11" s="12" t="s">
        <v>27</v>
      </c>
      <c r="B11" s="13" t="s">
        <v>18</v>
      </c>
      <c r="C11" s="12" t="s">
        <v>28</v>
      </c>
      <c r="D11" s="14" t="s">
        <v>5</v>
      </c>
      <c r="E11" s="15" t="s">
        <v>26</v>
      </c>
    </row>
    <row r="12" ht="22.5" customHeight="1">
      <c r="A12" s="12" t="s">
        <v>29</v>
      </c>
      <c r="B12" s="13" t="s">
        <v>24</v>
      </c>
      <c r="C12" s="12" t="s">
        <v>25</v>
      </c>
      <c r="D12" s="14" t="s">
        <v>5</v>
      </c>
      <c r="E12" s="15" t="s">
        <v>15</v>
      </c>
    </row>
    <row r="13" ht="22.5" customHeight="1">
      <c r="A13" s="16" t="s">
        <v>30</v>
      </c>
      <c r="B13" s="17" t="s">
        <v>18</v>
      </c>
      <c r="C13" s="16" t="s">
        <v>31</v>
      </c>
      <c r="D13" s="18" t="s">
        <v>5</v>
      </c>
      <c r="E13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3">
      <formula1>"--,PRIMARY KEY,FOREIGN KEY,UNIQUE,CHECK,DEFAULT"</formula1>
    </dataValidation>
    <dataValidation type="list" allowBlank="1" sqref="B7:B13">
      <formula1>"INT,VARCHAR,CHAR,DECIMAL,FLOAT,DATE,DATETIME,BLOB,BOOLEAN"</formula1>
    </dataValidation>
    <dataValidation allowBlank="1" showDropDown="1" sqref="A7:A13 C7:C13"/>
    <dataValidation type="list" allowBlank="1" sqref="D7:D13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32</v>
      </c>
      <c r="B2" s="4"/>
      <c r="C2" s="3">
        <v>6.0</v>
      </c>
      <c r="D2" s="3">
        <f>COUNTIF(Dicionário_de_Dados_02[Tipo de Restrição], "FOREIGN KEY")</f>
        <v>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33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</row>
    <row r="7" ht="22.5" customHeight="1">
      <c r="A7" s="12" t="s">
        <v>34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35</v>
      </c>
      <c r="B8" s="13" t="s">
        <v>18</v>
      </c>
      <c r="C8" s="12" t="s">
        <v>19</v>
      </c>
      <c r="D8" s="14" t="s">
        <v>5</v>
      </c>
      <c r="E8" s="15" t="s">
        <v>15</v>
      </c>
    </row>
    <row r="9" ht="22.5" customHeight="1">
      <c r="A9" s="12" t="s">
        <v>36</v>
      </c>
      <c r="B9" s="13" t="s">
        <v>18</v>
      </c>
      <c r="C9" s="12" t="s">
        <v>37</v>
      </c>
      <c r="D9" s="14" t="s">
        <v>5</v>
      </c>
      <c r="E9" s="15" t="s">
        <v>26</v>
      </c>
    </row>
    <row r="10" ht="22.5" customHeight="1">
      <c r="A10" s="12" t="s">
        <v>29</v>
      </c>
      <c r="B10" s="13" t="s">
        <v>24</v>
      </c>
      <c r="C10" s="12" t="s">
        <v>25</v>
      </c>
      <c r="D10" s="14" t="s">
        <v>5</v>
      </c>
      <c r="E10" s="15" t="s">
        <v>15</v>
      </c>
    </row>
    <row r="11" ht="22.5" customHeight="1">
      <c r="A11" s="12" t="s">
        <v>30</v>
      </c>
      <c r="B11" s="13" t="s">
        <v>18</v>
      </c>
      <c r="C11" s="12" t="s">
        <v>31</v>
      </c>
      <c r="D11" s="14" t="s">
        <v>5</v>
      </c>
      <c r="E11" s="15" t="s">
        <v>15</v>
      </c>
    </row>
    <row r="12" ht="22.5" customHeight="1">
      <c r="A12" s="12" t="s">
        <v>27</v>
      </c>
      <c r="B12" s="13" t="s">
        <v>18</v>
      </c>
      <c r="C12" s="12" t="s">
        <v>28</v>
      </c>
      <c r="D12" s="14" t="s">
        <v>5</v>
      </c>
      <c r="E12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2">
      <formula1>"--,PRIMARY KEY,FOREIGN KEY,UNIQUE,CHECK,DEFAULT"</formula1>
    </dataValidation>
    <dataValidation type="list" allowBlank="1" sqref="B7:B12">
      <formula1>"INT,VARCHAR,CHAR,DECIMAL,FLOAT,DATE,DATETIME,BLOB,BOOLEAN"</formula1>
    </dataValidation>
    <dataValidation allowBlank="1" showDropDown="1" sqref="A7:A12 C7:C12"/>
    <dataValidation type="list" allowBlank="1" sqref="D7:D12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38</v>
      </c>
      <c r="B2" s="4"/>
      <c r="C2" s="3">
        <v>3.0</v>
      </c>
      <c r="D2" s="3">
        <f>COUNTIF(Dicionário_de_Dados_03[Tipo de Restrição], "FOREIGN KEY")</f>
        <v>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39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40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41</v>
      </c>
      <c r="B8" s="13" t="s">
        <v>18</v>
      </c>
      <c r="C8" s="12" t="s">
        <v>42</v>
      </c>
      <c r="D8" s="14" t="s">
        <v>5</v>
      </c>
      <c r="E8" s="15" t="s">
        <v>26</v>
      </c>
    </row>
    <row r="9" ht="22.5" customHeight="1">
      <c r="A9" s="12" t="s">
        <v>43</v>
      </c>
      <c r="B9" s="13" t="s">
        <v>24</v>
      </c>
      <c r="C9" s="12" t="s">
        <v>44</v>
      </c>
      <c r="D9" s="14" t="s">
        <v>5</v>
      </c>
      <c r="E9" s="15" t="s">
        <v>26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9">
      <formula1>"--,PRIMARY KEY,FOREIGN KEY,UNIQUE,CHECK,DEFAULT"</formula1>
    </dataValidation>
    <dataValidation type="list" allowBlank="1" sqref="B7:B9">
      <formula1>"INT,VARCHAR,CHAR,DECIMAL,FLOAT,DATE,DATETIME,BLOB,BOOLEAN"</formula1>
    </dataValidation>
    <dataValidation allowBlank="1" showDropDown="1" sqref="A7:A9 C7:C9"/>
    <dataValidation type="list" allowBlank="1" sqref="D7:D9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45</v>
      </c>
      <c r="B2" s="4"/>
      <c r="C2" s="3">
        <v>4.0</v>
      </c>
      <c r="D2" s="3">
        <v>1.0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46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47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40</v>
      </c>
      <c r="B8" s="13" t="s">
        <v>18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49</v>
      </c>
      <c r="B9" s="13" t="s">
        <v>24</v>
      </c>
      <c r="C9" s="12" t="s">
        <v>50</v>
      </c>
      <c r="D9" s="14" t="s">
        <v>5</v>
      </c>
      <c r="E9" s="15" t="s">
        <v>26</v>
      </c>
    </row>
    <row r="10" ht="22.5" customHeight="1">
      <c r="A10" s="16" t="s">
        <v>51</v>
      </c>
      <c r="B10" s="17" t="s">
        <v>18</v>
      </c>
      <c r="C10" s="16" t="s">
        <v>52</v>
      </c>
      <c r="D10" s="18" t="s">
        <v>5</v>
      </c>
      <c r="E10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0">
      <formula1>"--,PRIMARY KEY,FOREIGN KEY,UNIQUE,CHECK,DEFAULT"</formula1>
    </dataValidation>
    <dataValidation type="list" allowBlank="1" sqref="B7:B10">
      <formula1>"INT,VARCHAR,CHAR,DECIMAL,FLOAT,DATE,DATETIME,BLOB,BOOLEAN"</formula1>
    </dataValidation>
    <dataValidation allowBlank="1" showDropDown="1" sqref="A7:A10 C7:C10"/>
    <dataValidation type="list" allowBlank="1" sqref="D7:D10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53</v>
      </c>
      <c r="B2" s="4"/>
      <c r="C2" s="3">
        <v>3.0</v>
      </c>
      <c r="D2" s="3">
        <v>1.0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54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55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47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56</v>
      </c>
      <c r="B9" s="13" t="s">
        <v>18</v>
      </c>
      <c r="C9" s="12" t="s">
        <v>52</v>
      </c>
      <c r="D9" s="14" t="s">
        <v>5</v>
      </c>
      <c r="E9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9">
      <formula1>"--,PRIMARY KEY,FOREIGN KEY,UNIQUE,CHECK,DEFAULT"</formula1>
    </dataValidation>
    <dataValidation type="list" allowBlank="1" sqref="B7:B9">
      <formula1>"INT,VARCHAR,CHAR,DECIMAL,FLOAT,DATE,DATETIME,BLOB,BOOLEAN"</formula1>
    </dataValidation>
    <dataValidation allowBlank="1" showDropDown="1" sqref="A7:A9 C7:C9"/>
    <dataValidation type="list" allowBlank="1" sqref="D7:D9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57</v>
      </c>
      <c r="B2" s="4"/>
      <c r="C2" s="3">
        <v>5.0</v>
      </c>
      <c r="D2" s="3">
        <v>1.0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58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59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55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60</v>
      </c>
      <c r="B9" s="13" t="s">
        <v>24</v>
      </c>
      <c r="C9" s="12" t="s">
        <v>61</v>
      </c>
      <c r="D9" s="14" t="s">
        <v>5</v>
      </c>
      <c r="E9" s="15" t="s">
        <v>15</v>
      </c>
    </row>
    <row r="10" ht="22.5" customHeight="1">
      <c r="A10" s="16" t="s">
        <v>62</v>
      </c>
      <c r="B10" s="17" t="s">
        <v>24</v>
      </c>
      <c r="C10" s="16" t="s">
        <v>63</v>
      </c>
      <c r="D10" s="18" t="s">
        <v>5</v>
      </c>
      <c r="E10" s="15" t="s">
        <v>22</v>
      </c>
    </row>
    <row r="11" ht="22.5" customHeight="1">
      <c r="A11" s="16" t="s">
        <v>64</v>
      </c>
      <c r="B11" s="17" t="s">
        <v>18</v>
      </c>
      <c r="C11" s="16" t="s">
        <v>65</v>
      </c>
      <c r="D11" s="18" t="s">
        <v>5</v>
      </c>
      <c r="E11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1">
      <formula1>"--,PRIMARY KEY,FOREIGN KEY,UNIQUE,CHECK,DEFAULT"</formula1>
    </dataValidation>
    <dataValidation type="list" allowBlank="1" sqref="B7:B11">
      <formula1>"INT,VARCHAR,CHAR,DECIMAL,FLOAT,DATE,DATETIME,BLOB,BOOLEAN"</formula1>
    </dataValidation>
    <dataValidation allowBlank="1" showDropDown="1" sqref="A7:A11 C7:C11"/>
    <dataValidation type="list" allowBlank="1" sqref="D7:D11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66</v>
      </c>
      <c r="B2" s="4"/>
      <c r="C2" s="3">
        <v>5.0</v>
      </c>
      <c r="D2" s="3">
        <v>2.0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67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68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13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59</v>
      </c>
      <c r="B9" s="13" t="s">
        <v>14</v>
      </c>
      <c r="C9" s="12" t="s">
        <v>15</v>
      </c>
      <c r="D9" s="14" t="s">
        <v>5</v>
      </c>
      <c r="E9" s="15" t="s">
        <v>48</v>
      </c>
    </row>
    <row r="10" ht="22.5" customHeight="1">
      <c r="A10" s="16" t="s">
        <v>69</v>
      </c>
      <c r="B10" s="17" t="s">
        <v>14</v>
      </c>
      <c r="C10" s="16" t="s">
        <v>15</v>
      </c>
      <c r="D10" s="18" t="s">
        <v>5</v>
      </c>
      <c r="E10" s="15" t="s">
        <v>22</v>
      </c>
    </row>
    <row r="11" ht="22.5" customHeight="1">
      <c r="A11" s="16" t="s">
        <v>70</v>
      </c>
      <c r="B11" s="17" t="s">
        <v>18</v>
      </c>
      <c r="C11" s="16" t="s">
        <v>65</v>
      </c>
      <c r="D11" s="18" t="s">
        <v>71</v>
      </c>
      <c r="E11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1">
      <formula1>"--,PRIMARY KEY,FOREIGN KEY,UNIQUE,CHECK,DEFAULT"</formula1>
    </dataValidation>
    <dataValidation type="list" allowBlank="1" sqref="B7:B11">
      <formula1>"INT,VARCHAR,CHAR,DECIMAL,FLOAT,DATE,DATETIME,BLOB,BOOLEAN"</formula1>
    </dataValidation>
    <dataValidation allowBlank="1" showDropDown="1" sqref="A7:A11 C7:C11"/>
    <dataValidation type="list" allowBlank="1" sqref="D7:D11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72</v>
      </c>
      <c r="B2" s="4"/>
      <c r="C2" s="3">
        <v>5.0</v>
      </c>
      <c r="D2" s="3">
        <v>2.0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73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74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34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59</v>
      </c>
      <c r="B9" s="13" t="s">
        <v>14</v>
      </c>
      <c r="C9" s="12" t="s">
        <v>15</v>
      </c>
      <c r="D9" s="14" t="s">
        <v>5</v>
      </c>
      <c r="E9" s="15" t="s">
        <v>48</v>
      </c>
    </row>
    <row r="10" ht="22.5" customHeight="1">
      <c r="A10" s="16" t="s">
        <v>69</v>
      </c>
      <c r="B10" s="17" t="s">
        <v>14</v>
      </c>
      <c r="C10" s="16" t="s">
        <v>15</v>
      </c>
      <c r="D10" s="18" t="s">
        <v>5</v>
      </c>
      <c r="E10" s="15" t="s">
        <v>22</v>
      </c>
    </row>
    <row r="11" ht="22.5" customHeight="1">
      <c r="A11" s="16" t="s">
        <v>70</v>
      </c>
      <c r="B11" s="17" t="s">
        <v>18</v>
      </c>
      <c r="C11" s="16" t="s">
        <v>65</v>
      </c>
      <c r="D11" s="18" t="s">
        <v>71</v>
      </c>
      <c r="E11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1">
      <formula1>"--,PRIMARY KEY,FOREIGN KEY,UNIQUE,CHECK,DEFAULT"</formula1>
    </dataValidation>
    <dataValidation type="list" allowBlank="1" sqref="B7:B11">
      <formula1>"INT,VARCHAR,CHAR,DECIMAL,FLOAT,DATE,DATETIME,BLOB,BOOLEAN"</formula1>
    </dataValidation>
    <dataValidation allowBlank="1" showDropDown="1" sqref="A7:A11 C7:C11"/>
    <dataValidation type="list" allowBlank="1" sqref="D7:D11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75</v>
      </c>
      <c r="B2" s="4"/>
      <c r="C2" s="3">
        <v>2.0</v>
      </c>
      <c r="D2" s="3">
        <f>COUNTIF(Dicionário_de_Dados_09[Tipo de Restrição], "FOREIGN KEY")</f>
        <v>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76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</row>
    <row r="7" ht="22.5" customHeight="1">
      <c r="A7" s="12" t="s">
        <v>77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78</v>
      </c>
      <c r="B8" s="13" t="s">
        <v>18</v>
      </c>
      <c r="C8" s="12" t="s">
        <v>52</v>
      </c>
      <c r="D8" s="14" t="s">
        <v>5</v>
      </c>
      <c r="E8" s="15" t="s">
        <v>26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8">
      <formula1>"--,PRIMARY KEY,FOREIGN KEY,UNIQUE,CHECK,DEFAULT"</formula1>
    </dataValidation>
    <dataValidation type="list" allowBlank="1" sqref="B7:B8">
      <formula1>"INT,VARCHAR,CHAR,DECIMAL,FLOAT,DATE,DATETIME,BLOB,BOOLEAN"</formula1>
    </dataValidation>
    <dataValidation allowBlank="1" showDropDown="1" sqref="A7:A8 C7:C8"/>
    <dataValidation type="list" allowBlank="1" sqref="D7:D8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6.25"/>
    <col customWidth="1" min="2" max="2" width="20.1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79</v>
      </c>
      <c r="B2" s="4"/>
      <c r="C2" s="3">
        <v>7.0</v>
      </c>
      <c r="D2" s="3">
        <f>COUNTIF(Dicionário_de_Dados_10[Tipo de Restrição], "FOREIGN KEY")</f>
        <v>1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80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</row>
    <row r="7" ht="22.5" customHeight="1">
      <c r="A7" s="12" t="s">
        <v>81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77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82</v>
      </c>
      <c r="B9" s="13" t="s">
        <v>18</v>
      </c>
      <c r="C9" s="12" t="s">
        <v>31</v>
      </c>
      <c r="D9" s="14" t="s">
        <v>5</v>
      </c>
      <c r="E9" s="15" t="s">
        <v>15</v>
      </c>
    </row>
    <row r="10" ht="22.5" customHeight="1">
      <c r="A10" s="12" t="s">
        <v>83</v>
      </c>
      <c r="B10" s="13" t="s">
        <v>21</v>
      </c>
      <c r="C10" s="12" t="s">
        <v>15</v>
      </c>
      <c r="D10" s="14" t="s">
        <v>5</v>
      </c>
      <c r="E10" s="15" t="s">
        <v>22</v>
      </c>
    </row>
    <row r="11" ht="22.5" customHeight="1">
      <c r="A11" s="12" t="s">
        <v>84</v>
      </c>
      <c r="B11" s="13" t="s">
        <v>21</v>
      </c>
      <c r="C11" s="12" t="s">
        <v>15</v>
      </c>
      <c r="D11" s="14" t="s">
        <v>5</v>
      </c>
      <c r="E11" s="15" t="s">
        <v>22</v>
      </c>
    </row>
    <row r="12" ht="22.5" customHeight="1">
      <c r="A12" s="16" t="s">
        <v>85</v>
      </c>
      <c r="B12" s="17" t="s">
        <v>24</v>
      </c>
      <c r="C12" s="16" t="s">
        <v>50</v>
      </c>
      <c r="D12" s="18" t="s">
        <v>5</v>
      </c>
      <c r="E12" s="15" t="s">
        <v>26</v>
      </c>
    </row>
    <row r="13" ht="22.5" customHeight="1">
      <c r="A13" s="16" t="s">
        <v>86</v>
      </c>
      <c r="B13" s="17" t="s">
        <v>18</v>
      </c>
      <c r="C13" s="16" t="s">
        <v>87</v>
      </c>
      <c r="D13" s="18" t="s">
        <v>5</v>
      </c>
      <c r="E13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3">
      <formula1>"--,PRIMARY KEY,FOREIGN KEY,UNIQUE,CHECK,DEFAULT"</formula1>
    </dataValidation>
    <dataValidation type="list" allowBlank="1" sqref="B7:B13">
      <formula1>"INT,VARCHAR,CHAR,DECIMAL,FLOAT,DATE,DATETIME,BLOB,BOOLEAN"</formula1>
    </dataValidation>
    <dataValidation allowBlank="1" showDropDown="1" sqref="A7:A13 C7:C13"/>
    <dataValidation type="list" allowBlank="1" sqref="D7:D13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88</v>
      </c>
      <c r="B2" s="4"/>
      <c r="C2" s="3">
        <v>6.0</v>
      </c>
      <c r="D2" s="3">
        <v>2.0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89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90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13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81</v>
      </c>
      <c r="B9" s="13" t="s">
        <v>14</v>
      </c>
      <c r="C9" s="12" t="s">
        <v>15</v>
      </c>
      <c r="D9" s="14" t="s">
        <v>5</v>
      </c>
      <c r="E9" s="15" t="s">
        <v>48</v>
      </c>
    </row>
    <row r="10" ht="22.5" customHeight="1">
      <c r="A10" s="16" t="s">
        <v>91</v>
      </c>
      <c r="B10" s="17" t="s">
        <v>21</v>
      </c>
      <c r="C10" s="16" t="s">
        <v>15</v>
      </c>
      <c r="D10" s="18" t="s">
        <v>5</v>
      </c>
      <c r="E10" s="15" t="s">
        <v>22</v>
      </c>
    </row>
    <row r="11" ht="22.5" customHeight="1">
      <c r="A11" s="16" t="s">
        <v>92</v>
      </c>
      <c r="B11" s="17" t="s">
        <v>21</v>
      </c>
      <c r="C11" s="16" t="s">
        <v>15</v>
      </c>
      <c r="D11" s="18" t="s">
        <v>71</v>
      </c>
      <c r="E11" s="15" t="s">
        <v>22</v>
      </c>
    </row>
    <row r="12" ht="22.5" customHeight="1">
      <c r="A12" s="16" t="s">
        <v>93</v>
      </c>
      <c r="B12" s="17" t="s">
        <v>24</v>
      </c>
      <c r="C12" s="16" t="s">
        <v>94</v>
      </c>
      <c r="D12" s="18" t="s">
        <v>5</v>
      </c>
      <c r="E12" s="15" t="s">
        <v>22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2">
      <formula1>"--,PRIMARY KEY,FOREIGN KEY,UNIQUE,CHECK,DEFAULT"</formula1>
    </dataValidation>
    <dataValidation type="list" allowBlank="1" sqref="B7:B12">
      <formula1>"INT,VARCHAR,CHAR,DECIMAL,FLOAT,DATE,DATETIME,BLOB,BOOLEAN"</formula1>
    </dataValidation>
    <dataValidation allowBlank="1" showDropDown="1" sqref="A7:A12 C7:C12"/>
    <dataValidation type="list" allowBlank="1" sqref="D7:D12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95</v>
      </c>
      <c r="B2" s="4"/>
      <c r="C2" s="3">
        <v>5.0</v>
      </c>
      <c r="D2" s="3">
        <v>1.0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96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97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81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98</v>
      </c>
      <c r="B9" s="13" t="s">
        <v>99</v>
      </c>
      <c r="C9" s="12" t="s">
        <v>15</v>
      </c>
      <c r="D9" s="14" t="s">
        <v>5</v>
      </c>
      <c r="E9" s="15" t="s">
        <v>15</v>
      </c>
    </row>
    <row r="10" ht="22.5" customHeight="1">
      <c r="A10" s="16" t="s">
        <v>100</v>
      </c>
      <c r="B10" s="17" t="s">
        <v>21</v>
      </c>
      <c r="C10" s="16" t="s">
        <v>15</v>
      </c>
      <c r="D10" s="18" t="s">
        <v>5</v>
      </c>
      <c r="E10" s="15" t="s">
        <v>22</v>
      </c>
    </row>
    <row r="11" ht="22.5" customHeight="1">
      <c r="A11" s="16" t="s">
        <v>101</v>
      </c>
      <c r="B11" s="17" t="s">
        <v>102</v>
      </c>
      <c r="C11" s="16" t="s">
        <v>103</v>
      </c>
      <c r="D11" s="18" t="s">
        <v>5</v>
      </c>
      <c r="E11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1">
      <formula1>"--,PRIMARY KEY,FOREIGN KEY,UNIQUE,CHECK,DEFAULT"</formula1>
    </dataValidation>
    <dataValidation allowBlank="1" showDropDown="1" sqref="A7:A11 C7:C11"/>
    <dataValidation type="list" allowBlank="1" sqref="B7:B11">
      <formula1>"INT,VARCHAR,CHAR,DECIMAL,FLOAT,DATE,DATETIME,BLOB,BOOLEAN,TEXT"</formula1>
    </dataValidation>
    <dataValidation type="list" allowBlank="1" sqref="D7:D11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104</v>
      </c>
      <c r="B2" s="4"/>
      <c r="C2" s="3">
        <v>7.0</v>
      </c>
      <c r="D2" s="3">
        <v>2.0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105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106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90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34</v>
      </c>
      <c r="B9" s="13" t="s">
        <v>14</v>
      </c>
      <c r="C9" s="12" t="s">
        <v>15</v>
      </c>
      <c r="D9" s="14" t="s">
        <v>5</v>
      </c>
      <c r="E9" s="15" t="s">
        <v>48</v>
      </c>
    </row>
    <row r="10" ht="22.5" customHeight="1">
      <c r="A10" s="16" t="s">
        <v>107</v>
      </c>
      <c r="B10" s="17" t="s">
        <v>21</v>
      </c>
      <c r="C10" s="16" t="s">
        <v>15</v>
      </c>
      <c r="D10" s="18" t="s">
        <v>5</v>
      </c>
      <c r="E10" s="15" t="s">
        <v>22</v>
      </c>
    </row>
    <row r="11" ht="22.5" customHeight="1">
      <c r="A11" s="16" t="s">
        <v>108</v>
      </c>
      <c r="B11" s="17" t="s">
        <v>99</v>
      </c>
      <c r="C11" s="16" t="s">
        <v>15</v>
      </c>
      <c r="D11" s="18" t="s">
        <v>5</v>
      </c>
      <c r="E11" s="15" t="s">
        <v>15</v>
      </c>
    </row>
    <row r="12" ht="22.5" customHeight="1">
      <c r="A12" s="16" t="s">
        <v>109</v>
      </c>
      <c r="B12" s="17" t="s">
        <v>21</v>
      </c>
      <c r="C12" s="16" t="s">
        <v>15</v>
      </c>
      <c r="D12" s="18" t="s">
        <v>5</v>
      </c>
      <c r="E12" s="15" t="s">
        <v>22</v>
      </c>
    </row>
    <row r="13" ht="22.5" customHeight="1">
      <c r="A13" s="16" t="s">
        <v>93</v>
      </c>
      <c r="B13" s="17" t="s">
        <v>24</v>
      </c>
      <c r="C13" s="16" t="s">
        <v>94</v>
      </c>
      <c r="D13" s="18" t="s">
        <v>5</v>
      </c>
      <c r="E13" s="15" t="s">
        <v>22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3">
      <formula1>"--,PRIMARY KEY,FOREIGN KEY,UNIQUE,CHECK,DEFAULT"</formula1>
    </dataValidation>
    <dataValidation allowBlank="1" showDropDown="1" sqref="A7:A13 C7:C13"/>
    <dataValidation type="list" allowBlank="1" sqref="B7:B13">
      <formula1>"INT,VARCHAR,CHAR,DECIMAL,FLOAT,DATE,DATETIME,BLOB,BOOLEAN,TEXT"</formula1>
    </dataValidation>
    <dataValidation type="list" allowBlank="1" sqref="D7:D13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110</v>
      </c>
      <c r="B2" s="4"/>
      <c r="C2" s="3">
        <v>6.0</v>
      </c>
      <c r="D2" s="3">
        <v>1.0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111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112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106</v>
      </c>
      <c r="B8" s="13" t="s">
        <v>14</v>
      </c>
      <c r="C8" s="12" t="s">
        <v>15</v>
      </c>
      <c r="D8" s="14" t="s">
        <v>5</v>
      </c>
      <c r="E8" s="15" t="s">
        <v>113</v>
      </c>
    </row>
    <row r="9" ht="22.5" customHeight="1">
      <c r="A9" s="12" t="s">
        <v>114</v>
      </c>
      <c r="B9" s="13" t="s">
        <v>102</v>
      </c>
      <c r="C9" s="12" t="s">
        <v>103</v>
      </c>
      <c r="D9" s="14" t="s">
        <v>5</v>
      </c>
      <c r="E9" s="15" t="s">
        <v>15</v>
      </c>
    </row>
    <row r="10" ht="22.5" customHeight="1">
      <c r="A10" s="16" t="s">
        <v>91</v>
      </c>
      <c r="B10" s="17" t="s">
        <v>21</v>
      </c>
      <c r="C10" s="16" t="s">
        <v>15</v>
      </c>
      <c r="D10" s="18" t="s">
        <v>5</v>
      </c>
      <c r="E10" s="15" t="s">
        <v>22</v>
      </c>
    </row>
    <row r="11" ht="22.5" customHeight="1">
      <c r="A11" s="16" t="s">
        <v>92</v>
      </c>
      <c r="B11" s="17" t="s">
        <v>21</v>
      </c>
      <c r="C11" s="16" t="s">
        <v>15</v>
      </c>
      <c r="D11" s="18" t="s">
        <v>71</v>
      </c>
      <c r="E11" s="15" t="s">
        <v>22</v>
      </c>
    </row>
    <row r="12" ht="22.5" customHeight="1">
      <c r="A12" s="16" t="s">
        <v>115</v>
      </c>
      <c r="B12" s="17" t="s">
        <v>99</v>
      </c>
      <c r="C12" s="16" t="s">
        <v>15</v>
      </c>
      <c r="D12" s="18" t="s">
        <v>5</v>
      </c>
      <c r="E12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2">
      <formula1>"--,PRIMARY KEY,FOREIGN KEY,UNIQUE,CHECK,DEFAULT"</formula1>
    </dataValidation>
    <dataValidation allowBlank="1" showDropDown="1" sqref="A7:A12 C7:C12"/>
    <dataValidation type="list" allowBlank="1" sqref="B7:B12">
      <formula1>"INT,VARCHAR,CHAR,DECIMAL,FLOAT,DATE,DATETIME,BLOB,BOOLEAN,TEXT"</formula1>
    </dataValidation>
    <dataValidation type="list" allowBlank="1" sqref="D7:D12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116</v>
      </c>
      <c r="B2" s="4"/>
      <c r="C2" s="3">
        <v>2.0</v>
      </c>
      <c r="D2" s="3">
        <v>0.0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117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118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119</v>
      </c>
      <c r="B8" s="13" t="s">
        <v>24</v>
      </c>
      <c r="C8" s="12" t="s">
        <v>94</v>
      </c>
      <c r="D8" s="14" t="s">
        <v>5</v>
      </c>
      <c r="E8" s="15" t="s">
        <v>120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8">
      <formula1>"--,PRIMARY KEY,FOREIGN KEY,UNIQUE,CHECK,DEFAULT"</formula1>
    </dataValidation>
    <dataValidation type="list" allowBlank="1" sqref="B7:B8">
      <formula1>"INT,VARCHAR,CHAR,DECIMAL,FLOAT,DATE,DATETIME,BLOB,BOOLEAN"</formula1>
    </dataValidation>
    <dataValidation allowBlank="1" showDropDown="1" sqref="A7:A8 C7:C8"/>
    <dataValidation type="list" allowBlank="1" sqref="D7:D8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121</v>
      </c>
      <c r="B2" s="4"/>
      <c r="C2" s="3">
        <v>4.0</v>
      </c>
      <c r="D2" s="3">
        <v>2.0</v>
      </c>
      <c r="E2" s="5" t="s">
        <v>71</v>
      </c>
    </row>
    <row r="3" ht="10.5" customHeight="1">
      <c r="A3" s="6"/>
    </row>
    <row r="4" ht="44.25" customHeight="1">
      <c r="A4" s="7" t="s">
        <v>6</v>
      </c>
      <c r="B4" s="8" t="s">
        <v>122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123</v>
      </c>
      <c r="B7" s="13" t="s">
        <v>124</v>
      </c>
      <c r="C7" s="12" t="s">
        <v>15</v>
      </c>
      <c r="D7" s="14" t="s">
        <v>5</v>
      </c>
      <c r="E7" s="15" t="s">
        <v>125</v>
      </c>
    </row>
    <row r="8" ht="22.5" customHeight="1">
      <c r="A8" s="12" t="s">
        <v>112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6" t="s">
        <v>118</v>
      </c>
      <c r="B9" s="17" t="s">
        <v>14</v>
      </c>
      <c r="C9" s="16" t="s">
        <v>15</v>
      </c>
      <c r="D9" s="18" t="s">
        <v>5</v>
      </c>
      <c r="E9" s="15" t="s">
        <v>48</v>
      </c>
    </row>
    <row r="10" ht="22.5" customHeight="1">
      <c r="A10" s="16" t="s">
        <v>126</v>
      </c>
      <c r="B10" s="17" t="s">
        <v>99</v>
      </c>
      <c r="C10" s="16" t="s">
        <v>15</v>
      </c>
      <c r="D10" s="18" t="s">
        <v>71</v>
      </c>
      <c r="E10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0">
      <formula1>"--,PRIMARY KEY,FOREIGN KEY,UNIQUE,CHECK,DEFAULT"</formula1>
    </dataValidation>
    <dataValidation allowBlank="1" showDropDown="1" sqref="A7:A10 C7:C10"/>
    <dataValidation type="list" allowBlank="1" sqref="B7:B10">
      <formula1>"INT,VARCHAR,CHAR,DECIMAL,FLOAT,DATE,DATETIME,BLOB,BOOLEAN,TEXT"</formula1>
    </dataValidation>
    <dataValidation type="list" allowBlank="1" sqref="D7:D10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127</v>
      </c>
      <c r="B2" s="4"/>
      <c r="C2" s="3">
        <v>5.0</v>
      </c>
      <c r="D2" s="3">
        <v>1.0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128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129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130</v>
      </c>
      <c r="B8" s="13" t="s">
        <v>18</v>
      </c>
      <c r="C8" s="12" t="s">
        <v>131</v>
      </c>
      <c r="D8" s="14" t="s">
        <v>5</v>
      </c>
      <c r="E8" s="15" t="s">
        <v>15</v>
      </c>
    </row>
    <row r="9" ht="22.5" customHeight="1">
      <c r="A9" s="16" t="s">
        <v>132</v>
      </c>
      <c r="B9" s="17" t="s">
        <v>99</v>
      </c>
      <c r="C9" s="16" t="s">
        <v>15</v>
      </c>
      <c r="D9" s="18" t="s">
        <v>5</v>
      </c>
      <c r="E9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9">
      <formula1>"--,PRIMARY KEY,FOREIGN KEY,UNIQUE,CHECK,DEFAULT"</formula1>
    </dataValidation>
    <dataValidation allowBlank="1" showDropDown="1" sqref="A7:A9 C7:C9"/>
    <dataValidation type="list" allowBlank="1" sqref="B7:B9">
      <formula1>"INT,VARCHAR,CHAR,DECIMAL,FLOAT,DATE,DATETIME,BLOB,BOOLEAN,TEXT"</formula1>
    </dataValidation>
    <dataValidation type="list" allowBlank="1" sqref="D7:D9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133</v>
      </c>
      <c r="B2" s="4"/>
      <c r="C2" s="3">
        <v>4.0</v>
      </c>
      <c r="D2" s="3">
        <v>2.0</v>
      </c>
      <c r="E2" s="5" t="s">
        <v>71</v>
      </c>
    </row>
    <row r="3" ht="10.5" customHeight="1">
      <c r="A3" s="6"/>
    </row>
    <row r="4" ht="44.25" customHeight="1">
      <c r="A4" s="7" t="s">
        <v>6</v>
      </c>
      <c r="B4" s="8" t="s">
        <v>134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112</v>
      </c>
      <c r="B7" s="13" t="s">
        <v>14</v>
      </c>
      <c r="C7" s="12" t="s">
        <v>15</v>
      </c>
      <c r="D7" s="14" t="s">
        <v>5</v>
      </c>
      <c r="E7" s="15" t="s">
        <v>135</v>
      </c>
    </row>
    <row r="8" ht="22.5" customHeight="1">
      <c r="A8" s="12" t="s">
        <v>129</v>
      </c>
      <c r="B8" s="13" t="s">
        <v>14</v>
      </c>
      <c r="C8" s="12" t="s">
        <v>15</v>
      </c>
      <c r="D8" s="14" t="s">
        <v>5</v>
      </c>
      <c r="E8" s="15" t="s">
        <v>135</v>
      </c>
    </row>
    <row r="9" ht="22.5" customHeight="1">
      <c r="A9" s="12" t="s">
        <v>136</v>
      </c>
      <c r="B9" s="13" t="s">
        <v>102</v>
      </c>
      <c r="C9" s="12" t="s">
        <v>137</v>
      </c>
      <c r="D9" s="14" t="s">
        <v>5</v>
      </c>
      <c r="E9" s="15" t="s">
        <v>22</v>
      </c>
    </row>
    <row r="10" ht="22.5" customHeight="1">
      <c r="A10" s="16" t="s">
        <v>138</v>
      </c>
      <c r="B10" s="17" t="s">
        <v>14</v>
      </c>
      <c r="C10" s="16" t="s">
        <v>15</v>
      </c>
      <c r="D10" s="18" t="s">
        <v>5</v>
      </c>
      <c r="E10" s="15" t="s">
        <v>15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0">
      <formula1>"--,PRIMARY KEY,FOREIGN KEY,UNIQUE,CHECK,DEFAULT"</formula1>
    </dataValidation>
    <dataValidation allowBlank="1" showDropDown="1" sqref="A7:A10 C7:C10"/>
    <dataValidation type="list" allowBlank="1" sqref="B7:B10">
      <formula1>"INT,VARCHAR,CHAR,DECIMAL,FLOAT,DATE,DATETIME,BLOB,BOOLEAN,TEXT"</formula1>
    </dataValidation>
    <dataValidation type="list" allowBlank="1" sqref="D7:D10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22.63"/>
    <col customWidth="1" min="3" max="3" width="18.63"/>
    <col customWidth="1" min="4" max="4" width="22.0"/>
    <col customWidth="1" min="5" max="5" width="31.0"/>
  </cols>
  <sheetData>
    <row r="1" ht="21.0" customHeight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ht="27.0" customHeight="1">
      <c r="A2" s="3" t="s">
        <v>139</v>
      </c>
      <c r="B2" s="4"/>
      <c r="C2" s="3">
        <v>6.0</v>
      </c>
      <c r="D2" s="3">
        <v>2.0</v>
      </c>
      <c r="E2" s="5" t="s">
        <v>5</v>
      </c>
    </row>
    <row r="3" ht="10.5" customHeight="1">
      <c r="A3" s="6"/>
    </row>
    <row r="4" ht="44.25" customHeight="1">
      <c r="A4" s="7" t="s">
        <v>6</v>
      </c>
      <c r="B4" s="8" t="s">
        <v>140</v>
      </c>
      <c r="C4" s="9"/>
      <c r="D4" s="9"/>
      <c r="E4" s="9"/>
    </row>
    <row r="5">
      <c r="A5" s="10"/>
      <c r="B5" s="10"/>
      <c r="C5" s="10"/>
      <c r="D5" s="10"/>
      <c r="E5" s="10"/>
    </row>
    <row r="6" ht="22.5" customHeight="1">
      <c r="A6" s="19" t="s">
        <v>8</v>
      </c>
      <c r="B6" s="19" t="s">
        <v>9</v>
      </c>
      <c r="C6" s="19" t="s">
        <v>10</v>
      </c>
      <c r="D6" s="19" t="s">
        <v>11</v>
      </c>
      <c r="E6" s="19" t="s">
        <v>12</v>
      </c>
    </row>
    <row r="7" ht="22.5" customHeight="1">
      <c r="A7" s="12" t="s">
        <v>141</v>
      </c>
      <c r="B7" s="13" t="s">
        <v>14</v>
      </c>
      <c r="C7" s="12" t="s">
        <v>15</v>
      </c>
      <c r="D7" s="14" t="s">
        <v>5</v>
      </c>
      <c r="E7" s="15" t="s">
        <v>16</v>
      </c>
    </row>
    <row r="8" ht="22.5" customHeight="1">
      <c r="A8" s="12" t="s">
        <v>112</v>
      </c>
      <c r="B8" s="13" t="s">
        <v>14</v>
      </c>
      <c r="C8" s="12" t="s">
        <v>15</v>
      </c>
      <c r="D8" s="14" t="s">
        <v>5</v>
      </c>
      <c r="E8" s="15" t="s">
        <v>48</v>
      </c>
    </row>
    <row r="9" ht="22.5" customHeight="1">
      <c r="A9" s="12" t="s">
        <v>13</v>
      </c>
      <c r="B9" s="13" t="s">
        <v>14</v>
      </c>
      <c r="C9" s="12" t="s">
        <v>15</v>
      </c>
      <c r="D9" s="14" t="s">
        <v>5</v>
      </c>
      <c r="E9" s="15" t="s">
        <v>48</v>
      </c>
    </row>
    <row r="10" ht="22.5" customHeight="1">
      <c r="A10" s="16" t="s">
        <v>142</v>
      </c>
      <c r="B10" s="17" t="s">
        <v>24</v>
      </c>
      <c r="C10" s="16" t="s">
        <v>94</v>
      </c>
      <c r="D10" s="18" t="s">
        <v>5</v>
      </c>
      <c r="E10" s="15" t="s">
        <v>22</v>
      </c>
    </row>
    <row r="11" ht="22.5" customHeight="1">
      <c r="A11" s="16" t="s">
        <v>143</v>
      </c>
      <c r="B11" s="17" t="s">
        <v>99</v>
      </c>
      <c r="C11" s="16" t="s">
        <v>15</v>
      </c>
      <c r="D11" s="18" t="s">
        <v>71</v>
      </c>
      <c r="E11" s="15" t="s">
        <v>15</v>
      </c>
    </row>
    <row r="12" ht="22.5" customHeight="1">
      <c r="A12" s="16" t="s">
        <v>144</v>
      </c>
      <c r="B12" s="17" t="s">
        <v>21</v>
      </c>
      <c r="C12" s="16" t="s">
        <v>15</v>
      </c>
      <c r="D12" s="18" t="s">
        <v>5</v>
      </c>
      <c r="E12" s="15" t="s">
        <v>22</v>
      </c>
    </row>
  </sheetData>
  <mergeCells count="4">
    <mergeCell ref="A1:B1"/>
    <mergeCell ref="A2:B2"/>
    <mergeCell ref="A3:E3"/>
    <mergeCell ref="B4:E4"/>
  </mergeCells>
  <dataValidations>
    <dataValidation type="list" allowBlank="1" showDropDown="1" showErrorMessage="1" sqref="E2">
      <formula1>"Sim,Não"</formula1>
    </dataValidation>
    <dataValidation type="list" allowBlank="1" sqref="E7:E12">
      <formula1>"--,PRIMARY KEY,FOREIGN KEY,UNIQUE,CHECK,DEFAULT"</formula1>
    </dataValidation>
    <dataValidation allowBlank="1" showDropDown="1" sqref="A7:A12 C7:C12"/>
    <dataValidation type="list" allowBlank="1" sqref="B7:B12">
      <formula1>"INT,VARCHAR,CHAR,DECIMAL,FLOAT,DATE,DATETIME,BLOB,BOOLEAN,TEXT"</formula1>
    </dataValidation>
    <dataValidation type="list" allowBlank="1" sqref="D7:D12">
      <formula1>"Sim,Não"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